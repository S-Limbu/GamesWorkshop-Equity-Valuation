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8871CE41885450/Documents/GitHub/GamesWorkshop-Equity-Valuation/excel/"/>
    </mc:Choice>
  </mc:AlternateContent>
  <xr:revisionPtr revIDLastSave="360" documentId="8_{C62BC909-B571-4B9C-BEFD-DA2A5772E054}" xr6:coauthVersionLast="47" xr6:coauthVersionMax="47" xr10:uidLastSave="{1BBC4269-B6F9-44A3-8FCD-8577C44D4400}"/>
  <bookViews>
    <workbookView xWindow="-110" yWindow="-110" windowWidth="19420" windowHeight="11500" firstSheet="8" activeTab="11" xr2:uid="{66DC93F5-EA2D-49FA-9B7C-FA928A259360}"/>
  </bookViews>
  <sheets>
    <sheet name="Historicals" sheetId="1" r:id="rId1"/>
    <sheet name="Forecast" sheetId="2" r:id="rId2"/>
    <sheet name="Forecast Assumptions" sheetId="3" r:id="rId3"/>
    <sheet name="Cash Flow" sheetId="4" r:id="rId4"/>
    <sheet name="WACC" sheetId="5" r:id="rId5"/>
    <sheet name="Terminal Value " sheetId="6" r:id="rId6"/>
    <sheet name="Discounted Cash Flow" sheetId="7" r:id="rId7"/>
    <sheet name="Equity Value" sheetId="8" r:id="rId8"/>
    <sheet name="Trading Comparables" sheetId="9" r:id="rId9"/>
    <sheet name="Comparable Valuation" sheetId="10" r:id="rId10"/>
    <sheet name="Sensitivity Analysis" sheetId="11" r:id="rId11"/>
    <sheet name="Football Field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" i="9" l="1"/>
  <c r="H7" i="9"/>
  <c r="G7" i="9"/>
  <c r="B11" i="10" s="1"/>
  <c r="B12" i="10" s="1"/>
  <c r="B15" i="10" s="1"/>
  <c r="B16" i="10" s="1"/>
  <c r="D5" i="12"/>
  <c r="D4" i="12"/>
  <c r="D3" i="12"/>
  <c r="D2" i="12"/>
  <c r="C5" i="12"/>
  <c r="B5" i="12"/>
  <c r="B5" i="11" a="1"/>
  <c r="B5" i="11" s="1"/>
  <c r="C5" i="11" a="1"/>
  <c r="C5" i="11"/>
  <c r="D5" i="11" a="1"/>
  <c r="D5" i="11" s="1"/>
  <c r="E5" i="11" a="1"/>
  <c r="E5" i="11"/>
  <c r="F5" i="11" a="1"/>
  <c r="F5" i="11"/>
  <c r="B6" i="11" a="1"/>
  <c r="B6" i="11" s="1"/>
  <c r="C6" i="11" a="1"/>
  <c r="C6" i="11" s="1"/>
  <c r="D6" i="11" a="1"/>
  <c r="D6" i="11"/>
  <c r="E6" i="11" a="1"/>
  <c r="E6" i="11"/>
  <c r="F6" i="11" a="1"/>
  <c r="F6" i="11"/>
  <c r="B7" i="11" a="1"/>
  <c r="B7" i="11"/>
  <c r="C7" i="11" a="1"/>
  <c r="C7" i="11"/>
  <c r="D7" i="11" a="1"/>
  <c r="D7" i="11" s="1"/>
  <c r="E7" i="11" a="1"/>
  <c r="E7" i="11"/>
  <c r="F7" i="11" a="1"/>
  <c r="F7" i="11"/>
  <c r="B8" i="11" a="1"/>
  <c r="B8" i="11" s="1"/>
  <c r="C8" i="11" a="1"/>
  <c r="C8" i="11"/>
  <c r="D8" i="11" a="1"/>
  <c r="D8" i="11" s="1"/>
  <c r="E8" i="11" a="1"/>
  <c r="E8" i="11" s="1"/>
  <c r="F8" i="11" a="1"/>
  <c r="F8" i="11"/>
  <c r="C4" i="11" a="1"/>
  <c r="C4" i="11" s="1"/>
  <c r="D4" i="11" a="1"/>
  <c r="D4" i="11" s="1"/>
  <c r="E4" i="11" a="1"/>
  <c r="E4" i="11" s="1"/>
  <c r="F4" i="11" a="1"/>
  <c r="F4" i="11" s="1"/>
  <c r="B4" i="11" a="1"/>
  <c r="B4" i="11" s="1"/>
  <c r="B29" i="10"/>
  <c r="B28" i="10"/>
  <c r="B24" i="10"/>
  <c r="B23" i="10"/>
  <c r="B22" i="10"/>
  <c r="B21" i="10"/>
  <c r="B14" i="10"/>
  <c r="B13" i="10"/>
  <c r="I4" i="9"/>
  <c r="I3" i="9"/>
  <c r="H6" i="9"/>
  <c r="G6" i="9"/>
  <c r="H5" i="9"/>
  <c r="G5" i="9"/>
  <c r="H4" i="9"/>
  <c r="G4" i="9"/>
  <c r="H3" i="9"/>
  <c r="G3" i="9"/>
  <c r="I2" i="9"/>
  <c r="H2" i="9"/>
  <c r="G2" i="9"/>
  <c r="B9" i="8"/>
  <c r="B7" i="8"/>
  <c r="B5" i="8"/>
  <c r="B2" i="8"/>
  <c r="F7" i="7"/>
  <c r="F6" i="7"/>
  <c r="F4" i="7"/>
  <c r="E4" i="7"/>
  <c r="D4" i="7"/>
  <c r="C4" i="7"/>
  <c r="B4" i="7"/>
  <c r="F3" i="7"/>
  <c r="E3" i="7"/>
  <c r="D3" i="7"/>
  <c r="C3" i="7"/>
  <c r="B3" i="7"/>
  <c r="B5" i="6"/>
  <c r="B5" i="5"/>
  <c r="E10" i="4"/>
  <c r="C10" i="4"/>
  <c r="B10" i="4"/>
  <c r="F9" i="4"/>
  <c r="E9" i="4"/>
  <c r="D9" i="4"/>
  <c r="C9" i="4"/>
  <c r="B9" i="4"/>
  <c r="D8" i="4"/>
  <c r="F8" i="4"/>
  <c r="E8" i="4"/>
  <c r="C8" i="4"/>
  <c r="B8" i="4"/>
  <c r="F7" i="4"/>
  <c r="E7" i="4"/>
  <c r="D7" i="4"/>
  <c r="C7" i="4"/>
  <c r="B7" i="4"/>
  <c r="F6" i="4"/>
  <c r="E6" i="4"/>
  <c r="D6" i="4"/>
  <c r="C6" i="4"/>
  <c r="B6" i="4"/>
  <c r="F4" i="4"/>
  <c r="E4" i="4"/>
  <c r="D4" i="4"/>
  <c r="C4" i="4"/>
  <c r="B4" i="4"/>
  <c r="C6" i="2"/>
  <c r="C7" i="2" s="1"/>
  <c r="C8" i="2" s="1"/>
  <c r="B2" i="4"/>
  <c r="C5" i="2"/>
  <c r="C4" i="2"/>
  <c r="F14" i="1"/>
  <c r="E14" i="1"/>
  <c r="D14" i="1"/>
  <c r="C14" i="1"/>
  <c r="B14" i="1"/>
  <c r="F13" i="1"/>
  <c r="E13" i="1"/>
  <c r="D13" i="1"/>
  <c r="C13" i="1"/>
  <c r="B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<sst xmlns="http://schemas.openxmlformats.org/spreadsheetml/2006/main" count="164" uniqueCount="113">
  <si>
    <t>Financial Item</t>
  </si>
  <si>
    <t>FY2021</t>
  </si>
  <si>
    <t>FY2022</t>
  </si>
  <si>
    <t>FY2023</t>
  </si>
  <si>
    <t>FY2024</t>
  </si>
  <si>
    <t>FY2025</t>
  </si>
  <si>
    <t>Revenue</t>
  </si>
  <si>
    <t>Cost of Sales</t>
  </si>
  <si>
    <t>Gross Profit</t>
  </si>
  <si>
    <t>Operating Profit</t>
  </si>
  <si>
    <t>Profit Before Tax</t>
  </si>
  <si>
    <t>Net Profit</t>
  </si>
  <si>
    <t>Operating Cash Flow</t>
  </si>
  <si>
    <t>Capital Expenditure</t>
  </si>
  <si>
    <t>Cash</t>
  </si>
  <si>
    <t>Total Debt</t>
  </si>
  <si>
    <t>Shares Outstanding</t>
  </si>
  <si>
    <t>EBIT Margin</t>
  </si>
  <si>
    <t>Unlevered Free Cash Flow (UFCF)</t>
  </si>
  <si>
    <t>Property, Plant &amp; Equipment (PPE)</t>
  </si>
  <si>
    <t>Working Capital</t>
  </si>
  <si>
    <t>A</t>
  </si>
  <si>
    <t>B</t>
  </si>
  <si>
    <t>C</t>
  </si>
  <si>
    <t>Year</t>
  </si>
  <si>
    <t>Revenue Growth</t>
  </si>
  <si>
    <t>FY2025 (Actual)</t>
  </si>
  <si>
    <t>—</t>
  </si>
  <si>
    <t>FY2026</t>
  </si>
  <si>
    <t>FY2027</t>
  </si>
  <si>
    <t>FY2028</t>
  </si>
  <si>
    <t>FY2029</t>
  </si>
  <si>
    <t>FY2030</t>
  </si>
  <si>
    <t>Forecast Revenue (£m)</t>
  </si>
  <si>
    <t>Gross Margin</t>
  </si>
  <si>
    <t>Operating Margin</t>
  </si>
  <si>
    <t>Tax Rate</t>
  </si>
  <si>
    <t>Depreciation (% Revenue)</t>
  </si>
  <si>
    <t>Capex (% Revenue)</t>
  </si>
  <si>
    <t>Working Capital (% Revenue)</t>
  </si>
  <si>
    <t>Item</t>
  </si>
  <si>
    <t>Operating Margain</t>
  </si>
  <si>
    <t>EBIT</t>
  </si>
  <si>
    <t>NOPAT</t>
  </si>
  <si>
    <t>Depreciation</t>
  </si>
  <si>
    <t>Capex</t>
  </si>
  <si>
    <t xml:space="preserve">Working Capital </t>
  </si>
  <si>
    <t>Change In Working Capital</t>
  </si>
  <si>
    <t>Value</t>
  </si>
  <si>
    <t>Risk-Free Rate</t>
  </si>
  <si>
    <t>Beta</t>
  </si>
  <si>
    <t>Equity Risk Premium</t>
  </si>
  <si>
    <t>Cost of Equity</t>
  </si>
  <si>
    <t>Cost of Debt</t>
  </si>
  <si>
    <t>Market Value of Equity</t>
  </si>
  <si>
    <t>Market Value of Debt</t>
  </si>
  <si>
    <t>Equity Weight</t>
  </si>
  <si>
    <t>Debt Weight</t>
  </si>
  <si>
    <t>WACC</t>
  </si>
  <si>
    <t>Final Year UFCF</t>
  </si>
  <si>
    <t>Terminal Growth Rate</t>
  </si>
  <si>
    <t>Terminal Value</t>
  </si>
  <si>
    <t>UFCF</t>
  </si>
  <si>
    <t>Discount Factor</t>
  </si>
  <si>
    <t>Present Value of UFCF</t>
  </si>
  <si>
    <t>Present Value of Terminal Value</t>
  </si>
  <si>
    <t>Enterprise Value</t>
  </si>
  <si>
    <t>Add: Cash</t>
  </si>
  <si>
    <t>Less: Total Debt</t>
  </si>
  <si>
    <t>Equity Value</t>
  </si>
  <si>
    <t>Shares Outstanding (millions)</t>
  </si>
  <si>
    <t>Intrinsic Value per Share (£)</t>
  </si>
  <si>
    <t>Current Share Price (£)</t>
  </si>
  <si>
    <t>Upside / (Downside)</t>
  </si>
  <si>
    <t>Investment View</t>
  </si>
  <si>
    <t>Overvalued</t>
  </si>
  <si>
    <t>Company</t>
  </si>
  <si>
    <t>EBITDA</t>
  </si>
  <si>
    <t>EPS</t>
  </si>
  <si>
    <t>Share Price</t>
  </si>
  <si>
    <t>EV/Revenue</t>
  </si>
  <si>
    <t>EV/EBITDA</t>
  </si>
  <si>
    <t>P/E</t>
  </si>
  <si>
    <t>Games Workshop</t>
  </si>
  <si>
    <t>Hasbro</t>
  </si>
  <si>
    <t>Mattel</t>
  </si>
  <si>
    <t>Funko</t>
  </si>
  <si>
    <t>Character Group</t>
  </si>
  <si>
    <t>Median</t>
  </si>
  <si>
    <t>N/A</t>
  </si>
  <si>
    <t>Comparable Valuation</t>
  </si>
  <si>
    <t>Games Workshop Revenue</t>
  </si>
  <si>
    <t>Games Workshop EBITDA</t>
  </si>
  <si>
    <t>Games Workshop EPS</t>
  </si>
  <si>
    <t>Shares Outstanding (m)</t>
  </si>
  <si>
    <t>EV/Revenue Valuation</t>
  </si>
  <si>
    <t>Median EV/Revenue</t>
  </si>
  <si>
    <t>Implied Enterprise Value</t>
  </si>
  <si>
    <t>Implied Equity Value</t>
  </si>
  <si>
    <t>EV/EBITDA Valuation</t>
  </si>
  <si>
    <t>Median EV/EBITDA</t>
  </si>
  <si>
    <t>P/E Valuation</t>
  </si>
  <si>
    <t>Median P/E</t>
  </si>
  <si>
    <t>Implied Share Price</t>
  </si>
  <si>
    <t>Sensitivity Analysis — Implied Share Price (£)</t>
  </si>
  <si>
    <t>WACC / Terminal Growth</t>
  </si>
  <si>
    <t>Valuation Method</t>
  </si>
  <si>
    <t>Low (£)</t>
  </si>
  <si>
    <t>High (£)</t>
  </si>
  <si>
    <t>DCF</t>
  </si>
  <si>
    <t>Current Share Price</t>
  </si>
  <si>
    <t>Range</t>
  </si>
  <si>
    <t>Current Price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</si>
</sst>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£&quot;#,##0.00;[Red]\-&quot;£&quot;#,##0.00"/>
    <numFmt numFmtId="164" formatCode="0.0%"/>
    <numFmt numFmtId="165" formatCode="0.0"/>
    <numFmt numFmtId="166" formatCode="0.00000%"/>
    <numFmt numFmtId="167" formatCode="0.00000000000%"/>
    <numFmt numFmtId="168" formatCode="0.0000"/>
    <numFmt numFmtId="169" formatCode="&quot;£&quot;#,##0.00"/>
    <numFmt numFmtId="170" formatCode="&quot;£&quot;#,##0.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4" fontId="0" fillId="3" borderId="0" xfId="0" applyNumberFormat="1" applyFill="1"/>
    <xf numFmtId="0" fontId="0" fillId="3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165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2" borderId="0" xfId="0" applyFont="1" applyFill="1"/>
    <xf numFmtId="0" fontId="1" fillId="2" borderId="0" xfId="0" applyFont="1" applyFill="1" applyAlignment="1">
      <alignment horizontal="right" vertical="center" wrapText="1"/>
    </xf>
    <xf numFmtId="166" fontId="0" fillId="0" borderId="0" xfId="0" applyNumberFormat="1"/>
    <xf numFmtId="165" fontId="0" fillId="0" borderId="0" xfId="0" applyNumberFormat="1" applyAlignment="1">
      <alignment horizontal="right" vertical="center" wrapText="1"/>
    </xf>
    <xf numFmtId="167" fontId="0" fillId="0" borderId="0" xfId="0" applyNumberFormat="1"/>
    <xf numFmtId="168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8" fontId="0" fillId="0" borderId="0" xfId="0" applyNumberFormat="1"/>
    <xf numFmtId="0" fontId="1" fillId="0" borderId="0" xfId="0" applyFont="1" applyAlignment="1">
      <alignment vertical="center" wrapText="1"/>
    </xf>
    <xf numFmtId="2" fontId="0" fillId="0" borderId="0" xfId="0" applyNumberFormat="1"/>
    <xf numFmtId="0" fontId="0" fillId="0" borderId="0" xfId="0" applyAlignment="1">
      <alignment horizontal="left" vertical="center" indent="1"/>
    </xf>
    <xf numFmtId="169" fontId="0" fillId="0" borderId="0" xfId="0" applyNumberFormat="1" applyAlignment="1">
      <alignment horizontal="right" vertical="center" wrapText="1"/>
    </xf>
    <xf numFmtId="10" fontId="0" fillId="0" borderId="0" xfId="0" applyNumberFormat="1"/>
    <xf numFmtId="10" fontId="1" fillId="0" borderId="0" xfId="0" applyNumberFormat="1" applyFont="1" applyAlignment="1">
      <alignment horizontal="right" vertical="center" wrapText="1"/>
    </xf>
    <xf numFmtId="0" fontId="2" fillId="0" borderId="0" xfId="0" applyFont="1"/>
    <xf numFmtId="0" fontId="3" fillId="0" borderId="0" xfId="0" applyFont="1"/>
    <xf numFmtId="169" fontId="0" fillId="0" borderId="0" xfId="0" applyNumberFormat="1"/>
    <xf numFmtId="170" fontId="0" fillId="0" borderId="0" xfId="0" applyNumberFormat="1" applyAlignment="1">
      <alignment horizontal="right" vertical="center" wrapText="1"/>
    </xf>
    <xf numFmtId="170" fontId="0" fillId="0" borderId="0" xfId="0" applyNumberFormat="1"/>
    <xf numFmtId="8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Games Workshop Valuation Football Field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'Football Field'!$A$2:$A$5</c:f>
              <c:strCache>
                <c:ptCount val="4"/>
                <c:pt idx="0">
                  <c:v>DCF</c:v>
                </c:pt>
                <c:pt idx="1">
                  <c:v>EV/Revenue</c:v>
                </c:pt>
                <c:pt idx="2">
                  <c:v>EV/EBITDA</c:v>
                </c:pt>
                <c:pt idx="3">
                  <c:v>P/E</c:v>
                </c:pt>
              </c:strCache>
            </c:strRef>
          </c:cat>
          <c:val>
            <c:numRef>
              <c:f>'Football Field'!$B$2:$B$5</c:f>
              <c:numCache>
                <c:formatCode>General</c:formatCode>
                <c:ptCount val="4"/>
                <c:pt idx="0">
                  <c:v>82.85</c:v>
                </c:pt>
                <c:pt idx="1">
                  <c:v>10.64</c:v>
                </c:pt>
                <c:pt idx="2">
                  <c:v>65.88</c:v>
                </c:pt>
                <c:pt idx="3" formatCode="&quot;£&quot;#,##0.00">
                  <c:v>65.788800000000009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0-4DC4-887E-46D721E9A423}"/>
            </c:ext>
          </c:extLst>
        </c:ser>
        <c:ser>
          <c:idx val="1"/>
          <c:order val="1"/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'Football Field'!$A$2:$A$5</c:f>
              <c:strCache>
                <c:ptCount val="4"/>
                <c:pt idx="0">
                  <c:v>DCF</c:v>
                </c:pt>
                <c:pt idx="1">
                  <c:v>EV/Revenue</c:v>
                </c:pt>
                <c:pt idx="2">
                  <c:v>EV/EBITDA</c:v>
                </c:pt>
                <c:pt idx="3">
                  <c:v>P/E</c:v>
                </c:pt>
              </c:strCache>
            </c:strRef>
          </c:cat>
          <c:val>
            <c:numRef>
              <c:f>'Football Field'!$D$2:$D$5</c:f>
              <c:numCache>
                <c:formatCode>General</c:formatCode>
                <c:ptCount val="4"/>
                <c:pt idx="0">
                  <c:v>71.87</c:v>
                </c:pt>
                <c:pt idx="1">
                  <c:v>55.179999999999993</c:v>
                </c:pt>
                <c:pt idx="2">
                  <c:v>77.06</c:v>
                </c:pt>
                <c:pt idx="3" formatCode="&quot;£&quot;#,##0.00">
                  <c:v>38.252199999999988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A0-4DC4-887E-46D721E9A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317369135"/>
        <c:axId val="660075951"/>
      </c:barChart>
      <c:catAx>
        <c:axId val="317369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075951"/>
        <c:crosses val="autoZero"/>
        <c:auto val="1"/>
        <c:lblAlgn val="ctr"/>
        <c:lblOffset val="100"/>
        <c:noMultiLvlLbl val="0"/>
      </c:catAx>
      <c:valAx>
        <c:axId val="660075951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369135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4</xdr:row>
      <xdr:rowOff>6350</xdr:rowOff>
    </xdr:from>
    <xdr:to>
      <xdr:col>12</xdr:col>
      <xdr:colOff>15875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9569BD-64BB-FF58-7D1B-3816E1F7A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177800</xdr:colOff>
      <xdr:row>6</xdr:row>
      <xdr:rowOff>146050</xdr:rowOff>
    </xdr:from>
    <xdr:to>
      <xdr:col>11</xdr:col>
      <xdr:colOff>184150</xdr:colOff>
      <xdr:row>17</xdr:row>
      <xdr:rowOff>57150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8909DE1-79F4-A172-72A4-8F66CE7EB180}"/>
            </a:ext>
          </a:extLst>
        </xdr:cNvPr>
        <xdr:cNvCxnSpPr/>
      </xdr:nvCxnSpPr>
      <xdr:spPr>
        <a:xfrm>
          <a:off x="7937500" y="1803400"/>
          <a:ext cx="6350" cy="1936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76200</xdr:colOff>
      <xdr:row>5</xdr:row>
      <xdr:rowOff>38100</xdr:rowOff>
    </xdr:from>
    <xdr:to>
      <xdr:col>13</xdr:col>
      <xdr:colOff>57150</xdr:colOff>
      <xdr:row>7</xdr:row>
      <xdr:rowOff>120650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D9E2374-E4D8-69D4-7CAF-0F9C56991C14}"/>
            </a:ext>
          </a:extLst>
        </xdr:cNvPr>
        <xdr:cNvSpPr txBox="1"/>
      </xdr:nvSpPr>
      <xdr:spPr>
        <a:xfrm>
          <a:off x="7835900" y="1511300"/>
          <a:ext cx="1200150" cy="450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/>
            <a:t>Current Price: £189.40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A7809-D437-4927-99DE-4A307604D4CF}">
  <dimension ref="A1:F16"/>
  <sheetViews>
    <sheetView workbookViewId="0">
      <pane ySplit="1" topLeftCell="A2" activePane="bottomLeft" state="frozen"/>
      <selection pane="bottomLeft" activeCell="F11" sqref="F11"/>
    </sheetView>
  </sheetViews>
  <sheetFormatPr defaultRowHeight="14.5"/>
  <cols>
    <col min="1" max="1" width="28.179687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>
        <v>369.5</v>
      </c>
      <c r="C2">
        <v>414.8</v>
      </c>
      <c r="D2">
        <v>470.8</v>
      </c>
      <c r="E2">
        <v>525.70000000000005</v>
      </c>
      <c r="F2">
        <v>617.5</v>
      </c>
    </row>
    <row r="3" spans="1:6">
      <c r="A3" t="s">
        <v>7</v>
      </c>
      <c r="B3">
        <v>96.3</v>
      </c>
      <c r="C3">
        <v>127.4</v>
      </c>
      <c r="D3">
        <v>149.19999999999999</v>
      </c>
      <c r="E3">
        <v>151.19999999999999</v>
      </c>
      <c r="F3">
        <v>172.5</v>
      </c>
    </row>
    <row r="4" spans="1:6">
      <c r="A4" t="s">
        <v>8</v>
      </c>
      <c r="B4">
        <v>273.2</v>
      </c>
      <c r="C4">
        <v>287.39999999999998</v>
      </c>
      <c r="D4">
        <v>321.60000000000002</v>
      </c>
      <c r="E4">
        <v>374.5</v>
      </c>
      <c r="F4">
        <v>445</v>
      </c>
    </row>
    <row r="5" spans="1:6">
      <c r="A5" t="s">
        <v>9</v>
      </c>
      <c r="B5">
        <v>151.69999999999999</v>
      </c>
      <c r="C5">
        <v>157.1</v>
      </c>
      <c r="D5">
        <v>170.2</v>
      </c>
      <c r="E5">
        <v>201.8</v>
      </c>
      <c r="F5">
        <v>261.3</v>
      </c>
    </row>
    <row r="6" spans="1:6">
      <c r="A6" t="s">
        <v>10</v>
      </c>
      <c r="B6">
        <v>150.9</v>
      </c>
      <c r="C6">
        <v>156.5</v>
      </c>
      <c r="D6">
        <v>170.6</v>
      </c>
      <c r="E6">
        <v>203</v>
      </c>
      <c r="F6">
        <v>262.8</v>
      </c>
    </row>
    <row r="7" spans="1:6">
      <c r="A7" t="s">
        <v>11</v>
      </c>
      <c r="B7">
        <v>122</v>
      </c>
      <c r="C7">
        <v>128.4</v>
      </c>
      <c r="D7">
        <v>134.69999999999999</v>
      </c>
      <c r="E7">
        <v>151.1</v>
      </c>
      <c r="F7">
        <v>196.1</v>
      </c>
    </row>
    <row r="8" spans="1:6">
      <c r="A8" t="s">
        <v>12</v>
      </c>
      <c r="B8">
        <v>132.69999999999999</v>
      </c>
      <c r="C8">
        <v>121.5</v>
      </c>
      <c r="D8">
        <v>192.7</v>
      </c>
      <c r="E8">
        <v>196.2</v>
      </c>
      <c r="F8">
        <v>247.4</v>
      </c>
    </row>
    <row r="9" spans="1:6">
      <c r="A9" t="s">
        <v>13</v>
      </c>
      <c r="B9">
        <v>30</v>
      </c>
      <c r="C9">
        <v>32.299999999999997</v>
      </c>
      <c r="D9">
        <v>28.3</v>
      </c>
      <c r="E9">
        <v>32.6</v>
      </c>
      <c r="F9">
        <v>40.9</v>
      </c>
    </row>
    <row r="10" spans="1:6">
      <c r="A10" t="s">
        <v>14</v>
      </c>
      <c r="B10">
        <v>85.2</v>
      </c>
      <c r="C10">
        <v>71.400000000000006</v>
      </c>
      <c r="D10">
        <v>90.2</v>
      </c>
      <c r="E10">
        <v>107.6</v>
      </c>
      <c r="F10">
        <v>132.6</v>
      </c>
    </row>
    <row r="11" spans="1:6">
      <c r="A11" t="s">
        <v>15</v>
      </c>
      <c r="B11">
        <v>47</v>
      </c>
      <c r="C11">
        <v>48.9</v>
      </c>
      <c r="D11">
        <v>49.9</v>
      </c>
      <c r="E11">
        <v>47.2</v>
      </c>
      <c r="F11">
        <v>45.2</v>
      </c>
    </row>
    <row r="12" spans="1:6">
      <c r="A12" t="s">
        <v>16</v>
      </c>
      <c r="B12" s="4">
        <v>32.732999999999997</v>
      </c>
      <c r="C12" s="4">
        <v>32.813000000000002</v>
      </c>
      <c r="D12" s="4">
        <v>32.881</v>
      </c>
      <c r="E12" s="4">
        <v>32.935000000000002</v>
      </c>
      <c r="F12" s="4">
        <v>32.963000000000001</v>
      </c>
    </row>
    <row r="13" spans="1:6">
      <c r="A13" t="s">
        <v>17</v>
      </c>
      <c r="B13" s="5">
        <f>B5/B2</f>
        <v>0.41055480378890391</v>
      </c>
      <c r="C13" s="5">
        <f>C5/C2</f>
        <v>0.37873674059787849</v>
      </c>
      <c r="D13" s="5">
        <f>D5/D2</f>
        <v>0.36151231945624468</v>
      </c>
      <c r="E13" s="5">
        <f>E5/E2</f>
        <v>0.38386912687844776</v>
      </c>
      <c r="F13" s="5">
        <f>F5/F2</f>
        <v>0.42315789473684212</v>
      </c>
    </row>
    <row r="14" spans="1:6">
      <c r="A14" t="s">
        <v>18</v>
      </c>
      <c r="B14" s="6">
        <f>B8-B9</f>
        <v>102.69999999999999</v>
      </c>
      <c r="C14" s="6">
        <f>C8-C9</f>
        <v>89.2</v>
      </c>
      <c r="D14" s="6">
        <f>D8-D9</f>
        <v>164.39999999999998</v>
      </c>
      <c r="E14" s="6">
        <f>E8-E9</f>
        <v>163.6</v>
      </c>
      <c r="F14" s="6">
        <f>F8-F9</f>
        <v>206.5</v>
      </c>
    </row>
    <row r="15" spans="1:6">
      <c r="A15" t="s">
        <v>19</v>
      </c>
      <c r="B15">
        <v>49.8</v>
      </c>
      <c r="C15">
        <v>55</v>
      </c>
      <c r="D15">
        <v>55.7</v>
      </c>
      <c r="E15">
        <v>56.5</v>
      </c>
      <c r="F15">
        <v>64.900000000000006</v>
      </c>
    </row>
    <row r="16" spans="1:6">
      <c r="A16" t="s">
        <v>20</v>
      </c>
      <c r="B16">
        <v>99.7</v>
      </c>
      <c r="C16">
        <v>109.2</v>
      </c>
      <c r="D16">
        <v>125.8</v>
      </c>
      <c r="E16">
        <v>133.5</v>
      </c>
      <c r="F16">
        <v>163.9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554F-1861-46F3-8B1E-E29347EAA833}">
  <dimension ref="A1:C8"/>
  <sheetViews>
    <sheetView workbookViewId="0">
      <selection activeCell="C7" sqref="C7"/>
    </sheetView>
  </sheetViews>
  <sheetFormatPr defaultRowHeight="14.5"/>
  <cols>
    <col min="2" max="2" width="11.54296875" customWidth="1"/>
    <col min="3" max="3" width="11.90625" customWidth="1"/>
  </cols>
  <sheetData>
    <row r="1" spans="1:3">
      <c r="A1" s="7" t="s">
        <v>21</v>
      </c>
      <c r="B1" s="9" t="s">
        <v>22</v>
      </c>
      <c r="C1" s="9" t="s">
        <v>23</v>
      </c>
    </row>
    <row r="2" spans="1:3" ht="43.5">
      <c r="A2" s="12" t="s">
        <v>24</v>
      </c>
      <c r="B2" s="12" t="s">
        <v>25</v>
      </c>
      <c r="C2" s="12" t="s">
        <v>33</v>
      </c>
    </row>
    <row r="3" spans="1:3" ht="29">
      <c r="A3" s="10" t="s">
        <v>26</v>
      </c>
      <c r="B3" s="8" t="s">
        <v>27</v>
      </c>
      <c r="C3" s="8">
        <v>617.5</v>
      </c>
    </row>
    <row r="4" spans="1:3">
      <c r="A4" s="10" t="s">
        <v>28</v>
      </c>
      <c r="B4" s="11">
        <v>7.0000000000000007E-2</v>
      </c>
      <c r="C4" s="4">
        <f>617.5*1.07</f>
        <v>660.72500000000002</v>
      </c>
    </row>
    <row r="5" spans="1:3">
      <c r="A5" s="10" t="s">
        <v>29</v>
      </c>
      <c r="B5" s="11">
        <v>6.5000000000000002E-2</v>
      </c>
      <c r="C5" s="4">
        <f>C4*1.065</f>
        <v>703.67212499999994</v>
      </c>
    </row>
    <row r="6" spans="1:3">
      <c r="A6" s="10" t="s">
        <v>30</v>
      </c>
      <c r="B6" s="11">
        <v>0.06</v>
      </c>
      <c r="C6" s="4">
        <f>C5*1.06</f>
        <v>745.89245249999999</v>
      </c>
    </row>
    <row r="7" spans="1:3">
      <c r="A7" s="10" t="s">
        <v>31</v>
      </c>
      <c r="B7" s="11">
        <v>5.5E-2</v>
      </c>
      <c r="C7" s="4">
        <f>C6*1.055</f>
        <v>786.91653738749994</v>
      </c>
    </row>
    <row r="8" spans="1:3">
      <c r="A8" s="10" t="s">
        <v>32</v>
      </c>
      <c r="B8" s="11">
        <v>0.05</v>
      </c>
      <c r="C8" s="4">
        <f>C7*1.05</f>
        <v>826.262364256875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6483E-6DB6-4037-AA8D-C74FC243C34B}">
  <dimension ref="A1:F7"/>
  <sheetViews>
    <sheetView workbookViewId="0">
      <selection activeCell="B12" sqref="B12"/>
    </sheetView>
  </sheetViews>
  <sheetFormatPr defaultRowHeight="14.5"/>
  <cols>
    <col min="1" max="1" width="18.1796875" customWidth="1"/>
  </cols>
  <sheetData>
    <row r="1" spans="1:6">
      <c r="A1" s="12" t="s">
        <v>24</v>
      </c>
      <c r="B1" s="12" t="s">
        <v>28</v>
      </c>
      <c r="C1" s="12" t="s">
        <v>29</v>
      </c>
      <c r="D1" s="12" t="s">
        <v>30</v>
      </c>
      <c r="E1" s="12" t="s">
        <v>31</v>
      </c>
      <c r="F1" s="12" t="s">
        <v>32</v>
      </c>
    </row>
    <row r="2" spans="1:6">
      <c r="A2" s="10" t="s">
        <v>34</v>
      </c>
      <c r="B2" s="14">
        <v>0.69699999999999995</v>
      </c>
      <c r="C2" s="14">
        <v>0.7</v>
      </c>
      <c r="D2" s="14">
        <v>0.70099999999999996</v>
      </c>
      <c r="E2" s="14">
        <v>0.70299999999999996</v>
      </c>
      <c r="F2" s="14">
        <v>0.70499999999999996</v>
      </c>
    </row>
    <row r="3" spans="1:6">
      <c r="A3" s="10" t="s">
        <v>35</v>
      </c>
      <c r="B3" s="14">
        <v>0.42</v>
      </c>
      <c r="C3" s="14">
        <v>0.43</v>
      </c>
      <c r="D3" s="14">
        <v>0.432</v>
      </c>
      <c r="E3" s="14">
        <v>0.435</v>
      </c>
      <c r="F3" s="14">
        <v>0.44</v>
      </c>
    </row>
    <row r="4" spans="1:6">
      <c r="A4" s="10" t="s">
        <v>36</v>
      </c>
      <c r="B4" s="14">
        <v>0.26</v>
      </c>
      <c r="C4" s="14">
        <v>0.26400000000000001</v>
      </c>
      <c r="D4" s="14">
        <v>0.27</v>
      </c>
      <c r="E4" s="14">
        <v>0.27300000000000002</v>
      </c>
      <c r="F4" s="14">
        <v>0.27</v>
      </c>
    </row>
    <row r="5" spans="1:6" ht="29">
      <c r="A5" s="10" t="s">
        <v>37</v>
      </c>
      <c r="B5" s="14">
        <v>2.5000000000000001E-2</v>
      </c>
      <c r="C5" s="14">
        <v>3.2000000000000001E-2</v>
      </c>
      <c r="D5" s="14">
        <v>3.5000000000000003E-2</v>
      </c>
      <c r="E5" s="14">
        <v>3.6999999999999998E-2</v>
      </c>
      <c r="F5" s="14">
        <v>3.9E-2</v>
      </c>
    </row>
    <row r="6" spans="1:6">
      <c r="A6" s="10" t="s">
        <v>38</v>
      </c>
      <c r="B6" s="14">
        <v>6.5000000000000002E-2</v>
      </c>
      <c r="C6" s="14">
        <v>6.7000000000000004E-2</v>
      </c>
      <c r="D6" s="14">
        <v>6.8500000000000005E-2</v>
      </c>
      <c r="E6" s="14">
        <v>6.9000000000000006E-2</v>
      </c>
      <c r="F6" s="14">
        <v>7.0000000000000007E-2</v>
      </c>
    </row>
    <row r="7" spans="1:6" ht="29">
      <c r="A7" s="10" t="s">
        <v>39</v>
      </c>
      <c r="B7" s="14">
        <v>0.26</v>
      </c>
      <c r="C7" s="14">
        <v>0.26</v>
      </c>
      <c r="D7" s="14">
        <v>0.26</v>
      </c>
      <c r="E7" s="14">
        <v>0.26500000000000001</v>
      </c>
      <c r="F7" s="14">
        <v>0.26500000000000001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0BA86-8ECF-435F-86A3-78F56F47C137}">
  <dimension ref="A1:J13"/>
  <sheetViews>
    <sheetView workbookViewId="0">
      <selection activeCell="F11" sqref="F11"/>
    </sheetView>
  </sheetViews>
  <sheetFormatPr defaultRowHeight="14.5"/>
  <cols>
    <col min="1" max="1" width="28.453125" customWidth="1"/>
    <col min="2" max="4" width="8.90625" bestFit="1" customWidth="1"/>
  </cols>
  <sheetData>
    <row r="1" spans="1:10">
      <c r="A1" s="15" t="s">
        <v>40</v>
      </c>
      <c r="B1" s="15" t="s">
        <v>28</v>
      </c>
      <c r="C1" s="15" t="s">
        <v>29</v>
      </c>
      <c r="D1" s="15" t="s">
        <v>30</v>
      </c>
      <c r="E1" s="15" t="s">
        <v>31</v>
      </c>
      <c r="F1" s="15" t="s">
        <v>32</v>
      </c>
    </row>
    <row r="2" spans="1:10">
      <c r="A2" t="s">
        <v>6</v>
      </c>
      <c r="B2" s="4">
        <f>617.5*1.07</f>
        <v>660.72500000000002</v>
      </c>
      <c r="C2" s="4">
        <v>703.7</v>
      </c>
      <c r="D2">
        <v>745.9</v>
      </c>
      <c r="E2">
        <v>786.9</v>
      </c>
      <c r="F2">
        <v>826.3</v>
      </c>
    </row>
    <row r="3" spans="1:10">
      <c r="A3" t="s">
        <v>41</v>
      </c>
      <c r="B3" s="3">
        <v>0.42</v>
      </c>
      <c r="C3" s="3">
        <v>0.43</v>
      </c>
      <c r="D3" s="3">
        <v>0.432</v>
      </c>
      <c r="E3" s="3">
        <v>0.435</v>
      </c>
      <c r="F3" s="3">
        <v>0.44</v>
      </c>
    </row>
    <row r="4" spans="1:10">
      <c r="A4" t="s">
        <v>42</v>
      </c>
      <c r="B4" s="4">
        <f>B2*B3</f>
        <v>277.50450000000001</v>
      </c>
      <c r="C4" s="4">
        <f>C2*C3</f>
        <v>302.59100000000001</v>
      </c>
      <c r="D4" s="4">
        <f>D2*D3</f>
        <v>322.22879999999998</v>
      </c>
      <c r="E4" s="4">
        <f>E2*E3</f>
        <v>342.30149999999998</v>
      </c>
      <c r="F4" s="4">
        <f>F2*F3</f>
        <v>363.572</v>
      </c>
    </row>
    <row r="5" spans="1:10">
      <c r="A5" t="s">
        <v>36</v>
      </c>
      <c r="B5" s="3">
        <v>0.26</v>
      </c>
      <c r="C5" s="3">
        <v>0.26400000000000001</v>
      </c>
      <c r="D5" s="3">
        <v>0.27</v>
      </c>
      <c r="E5" s="3">
        <v>0.27300000000000002</v>
      </c>
      <c r="F5" s="3">
        <v>0.27</v>
      </c>
    </row>
    <row r="6" spans="1:10">
      <c r="A6" t="s">
        <v>43</v>
      </c>
      <c r="B6" s="4">
        <f>B4*(1-B5)</f>
        <v>205.35333</v>
      </c>
      <c r="C6" s="4">
        <f>C4*(1-C5)</f>
        <v>222.706976</v>
      </c>
      <c r="D6" s="4">
        <f>D4*(1-D5)</f>
        <v>235.22702399999997</v>
      </c>
      <c r="E6" s="4">
        <f>E4*(1-E5)</f>
        <v>248.85319049999998</v>
      </c>
      <c r="F6" s="4">
        <f>F4*(1-F5)</f>
        <v>265.40755999999999</v>
      </c>
    </row>
    <row r="7" spans="1:10">
      <c r="A7" t="s">
        <v>44</v>
      </c>
      <c r="B7" s="4">
        <f>B2*2.5%</f>
        <v>16.518125000000001</v>
      </c>
      <c r="C7" s="4">
        <f>C2*3.2%</f>
        <v>22.518400000000003</v>
      </c>
      <c r="D7" s="4">
        <f>D2*3.5%</f>
        <v>26.1065</v>
      </c>
      <c r="E7" s="4">
        <f>E2*3.7%</f>
        <v>29.115300000000005</v>
      </c>
      <c r="F7" s="4">
        <f>F2*3.9%</f>
        <v>32.225699999999996</v>
      </c>
    </row>
    <row r="8" spans="1:10">
      <c r="A8" t="s">
        <v>45</v>
      </c>
      <c r="B8" s="4">
        <f>B2*6.5%</f>
        <v>42.947125</v>
      </c>
      <c r="C8" s="4">
        <f>C2*6.7%</f>
        <v>47.147900000000007</v>
      </c>
      <c r="D8" s="4">
        <f>D2*6.9%</f>
        <v>51.467100000000002</v>
      </c>
      <c r="E8" s="4">
        <f>E2*6.9%</f>
        <v>54.296100000000003</v>
      </c>
      <c r="F8" s="4">
        <f>F2*7%</f>
        <v>57.841000000000001</v>
      </c>
    </row>
    <row r="9" spans="1:10">
      <c r="A9" t="s">
        <v>46</v>
      </c>
      <c r="B9" s="13">
        <f>B2*26%</f>
        <v>171.7885</v>
      </c>
      <c r="C9" s="13">
        <f>C2*26%</f>
        <v>182.96200000000002</v>
      </c>
      <c r="D9" s="13">
        <f>D2*26%</f>
        <v>193.934</v>
      </c>
      <c r="E9" s="13">
        <f>E2*26.5%</f>
        <v>208.52850000000001</v>
      </c>
      <c r="F9" s="13">
        <f>F2*26.5%</f>
        <v>218.96950000000001</v>
      </c>
    </row>
    <row r="10" spans="1:10">
      <c r="A10" t="s">
        <v>47</v>
      </c>
      <c r="B10" s="4">
        <f>B9-163.9</f>
        <v>7.8884999999999934</v>
      </c>
      <c r="C10" s="4">
        <f>C9-B9</f>
        <v>11.173500000000018</v>
      </c>
      <c r="D10" s="4">
        <v>10.9</v>
      </c>
      <c r="E10" s="4">
        <f>E9-D9</f>
        <v>14.594500000000011</v>
      </c>
      <c r="F10" s="4">
        <v>10.5</v>
      </c>
    </row>
    <row r="11" spans="1:10">
      <c r="A11" t="s">
        <v>18</v>
      </c>
      <c r="B11">
        <v>171.1</v>
      </c>
      <c r="C11">
        <v>186.9</v>
      </c>
      <c r="D11">
        <v>198.9</v>
      </c>
      <c r="E11">
        <v>209.1</v>
      </c>
      <c r="F11">
        <v>229.3</v>
      </c>
    </row>
    <row r="13" spans="1:10">
      <c r="F13" s="14"/>
      <c r="G13" s="14"/>
      <c r="H13" s="14"/>
      <c r="I13" s="14"/>
      <c r="J13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3D00-BADF-41A3-8723-91B09BB2FD06}">
  <dimension ref="A1:C13"/>
  <sheetViews>
    <sheetView workbookViewId="0">
      <selection activeCell="B12" sqref="B12"/>
    </sheetView>
  </sheetViews>
  <sheetFormatPr defaultRowHeight="14.5"/>
  <cols>
    <col min="1" max="1" width="19.54296875" customWidth="1"/>
    <col min="3" max="3" width="8.90625" bestFit="1" customWidth="1"/>
  </cols>
  <sheetData>
    <row r="1" spans="1:3">
      <c r="A1" s="12" t="s">
        <v>40</v>
      </c>
      <c r="B1" s="16" t="s">
        <v>48</v>
      </c>
    </row>
    <row r="2" spans="1:3">
      <c r="A2" s="10" t="s">
        <v>49</v>
      </c>
      <c r="B2" s="11">
        <v>4.2500000000000003E-2</v>
      </c>
    </row>
    <row r="3" spans="1:3">
      <c r="A3" s="10" t="s">
        <v>50</v>
      </c>
      <c r="B3" s="18">
        <v>0.85</v>
      </c>
    </row>
    <row r="4" spans="1:3">
      <c r="A4" s="10" t="s">
        <v>51</v>
      </c>
      <c r="B4" s="11">
        <v>5.5E-2</v>
      </c>
    </row>
    <row r="5" spans="1:3">
      <c r="A5" s="10" t="s">
        <v>52</v>
      </c>
      <c r="B5" s="11">
        <f>B2+B3*B4</f>
        <v>8.9249999999999996E-2</v>
      </c>
      <c r="C5" s="17"/>
    </row>
    <row r="6" spans="1:3">
      <c r="A6" s="10" t="s">
        <v>53</v>
      </c>
      <c r="B6" s="11">
        <v>2.3E-2</v>
      </c>
    </row>
    <row r="7" spans="1:3">
      <c r="A7" s="10" t="s">
        <v>36</v>
      </c>
      <c r="B7" s="11">
        <v>0.27</v>
      </c>
    </row>
    <row r="8" spans="1:3">
      <c r="A8" s="10" t="s">
        <v>54</v>
      </c>
      <c r="B8">
        <v>5603.7</v>
      </c>
    </row>
    <row r="9" spans="1:3">
      <c r="A9" s="10" t="s">
        <v>55</v>
      </c>
      <c r="B9" s="8">
        <v>45.2</v>
      </c>
    </row>
    <row r="10" spans="1:3">
      <c r="A10" s="10" t="s">
        <v>56</v>
      </c>
      <c r="B10" s="11">
        <v>0.99199999999999999</v>
      </c>
    </row>
    <row r="11" spans="1:3">
      <c r="A11" s="10" t="s">
        <v>57</v>
      </c>
      <c r="B11" s="11">
        <v>8.0000000000000002E-3</v>
      </c>
    </row>
    <row r="12" spans="1:3">
      <c r="A12" s="10" t="s">
        <v>58</v>
      </c>
      <c r="B12" s="11">
        <v>8.8700000000000001E-2</v>
      </c>
    </row>
    <row r="13" spans="1:3">
      <c r="B1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444EE-71C4-42BB-B690-AB506D51617D}">
  <dimension ref="A1:D5"/>
  <sheetViews>
    <sheetView workbookViewId="0">
      <selection activeCell="B5" sqref="B5"/>
    </sheetView>
  </sheetViews>
  <sheetFormatPr defaultRowHeight="14.5"/>
  <cols>
    <col min="1" max="1" width="18.7265625" customWidth="1"/>
    <col min="2" max="2" width="20.08984375" bestFit="1" customWidth="1"/>
    <col min="4" max="4" width="20.08984375" bestFit="1" customWidth="1"/>
  </cols>
  <sheetData>
    <row r="1" spans="1:4">
      <c r="A1" s="15" t="s">
        <v>40</v>
      </c>
      <c r="B1" s="15" t="s">
        <v>48</v>
      </c>
    </row>
    <row r="2" spans="1:4">
      <c r="A2" t="s">
        <v>59</v>
      </c>
      <c r="B2">
        <v>229.3</v>
      </c>
    </row>
    <row r="3" spans="1:4">
      <c r="A3" t="s">
        <v>60</v>
      </c>
      <c r="B3" s="3">
        <v>0.02</v>
      </c>
    </row>
    <row r="4" spans="1:4">
      <c r="A4" t="s">
        <v>58</v>
      </c>
      <c r="B4" s="3">
        <v>8.8999999999999996E-2</v>
      </c>
    </row>
    <row r="5" spans="1:4">
      <c r="A5" t="s">
        <v>61</v>
      </c>
      <c r="B5" s="4">
        <f>B2*(1+B3)/(B4-B3)</f>
        <v>3389.6521739130444</v>
      </c>
      <c r="D5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518D-C112-4DED-9C21-F061BA7A8F91}">
  <dimension ref="A1:F7"/>
  <sheetViews>
    <sheetView workbookViewId="0">
      <selection activeCell="F3" sqref="F3"/>
    </sheetView>
  </sheetViews>
  <sheetFormatPr defaultRowHeight="14.5"/>
  <cols>
    <col min="1" max="1" width="26.90625" customWidth="1"/>
    <col min="6" max="6" width="10.36328125" bestFit="1" customWidth="1"/>
  </cols>
  <sheetData>
    <row r="1" spans="1:6">
      <c r="A1" s="12" t="s">
        <v>40</v>
      </c>
      <c r="B1" s="16" t="s">
        <v>28</v>
      </c>
      <c r="C1" s="16" t="s">
        <v>29</v>
      </c>
      <c r="D1" s="16" t="s">
        <v>30</v>
      </c>
      <c r="E1" s="16" t="s">
        <v>31</v>
      </c>
      <c r="F1" s="16" t="s">
        <v>32</v>
      </c>
    </row>
    <row r="2" spans="1:6">
      <c r="A2" s="10" t="s">
        <v>62</v>
      </c>
      <c r="B2" s="8">
        <v>171.1</v>
      </c>
      <c r="C2" s="8">
        <v>186.9</v>
      </c>
      <c r="D2" s="8">
        <v>198.9</v>
      </c>
      <c r="E2" s="8">
        <v>209.1</v>
      </c>
      <c r="F2" s="8">
        <v>229.3</v>
      </c>
    </row>
    <row r="3" spans="1:6">
      <c r="A3" s="10" t="s">
        <v>63</v>
      </c>
      <c r="B3" s="20">
        <f>1/(1+8.9%)^1</f>
        <v>0.91827364554637281</v>
      </c>
      <c r="C3" s="20">
        <f>1/(1+8.9%)^2</f>
        <v>0.84322648810502554</v>
      </c>
      <c r="D3" s="20">
        <f>1/(1+8.9%)^3</f>
        <v>0.77431266125346698</v>
      </c>
      <c r="E3" s="20">
        <f>1/(1+8.9%)^4</f>
        <v>0.71103091024193477</v>
      </c>
      <c r="F3" s="20">
        <f>1/(1+8.9%)^5</f>
        <v>0.65292094604401729</v>
      </c>
    </row>
    <row r="4" spans="1:6">
      <c r="A4" s="10" t="s">
        <v>64</v>
      </c>
      <c r="B4" s="18">
        <f>171.1*0.9183</f>
        <v>157.12112999999999</v>
      </c>
      <c r="C4" s="18">
        <f>C2*C3</f>
        <v>157.59903062682929</v>
      </c>
      <c r="D4" s="18">
        <f>D2*D3</f>
        <v>154.01078832331459</v>
      </c>
      <c r="E4" s="18">
        <f>E2*E3</f>
        <v>148.67656333158857</v>
      </c>
      <c r="F4" s="18">
        <f>F2*F3</f>
        <v>149.71477292789316</v>
      </c>
    </row>
    <row r="5" spans="1:6">
      <c r="A5" s="10" t="s">
        <v>61</v>
      </c>
      <c r="B5" s="8"/>
      <c r="C5" s="8"/>
      <c r="D5" s="8"/>
      <c r="E5" s="8"/>
      <c r="F5" s="8">
        <v>3389.7</v>
      </c>
    </row>
    <row r="6" spans="1:6">
      <c r="A6" s="10" t="s">
        <v>65</v>
      </c>
      <c r="B6" s="8"/>
      <c r="C6" s="8"/>
      <c r="D6" s="8"/>
      <c r="E6" s="8"/>
      <c r="F6" s="18">
        <f>3389.7*0.6531</f>
        <v>2213.8130700000002</v>
      </c>
    </row>
    <row r="7" spans="1:6">
      <c r="A7" s="10" t="s">
        <v>66</v>
      </c>
      <c r="F7" s="4">
        <f>SUM(B4:F4)+F6</f>
        <v>2980.9353552096259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ED2A7-312A-4199-8832-2D3940893A66}">
  <dimension ref="A1:B10"/>
  <sheetViews>
    <sheetView workbookViewId="0">
      <selection activeCell="F15" sqref="F15"/>
    </sheetView>
  </sheetViews>
  <sheetFormatPr defaultRowHeight="14.5"/>
  <cols>
    <col min="1" max="1" width="25.453125" customWidth="1"/>
    <col min="2" max="2" width="11.36328125" bestFit="1" customWidth="1"/>
  </cols>
  <sheetData>
    <row r="1" spans="1:2">
      <c r="A1" s="12" t="s">
        <v>40</v>
      </c>
      <c r="B1" s="16" t="s">
        <v>48</v>
      </c>
    </row>
    <row r="2" spans="1:2">
      <c r="A2" s="10" t="s">
        <v>66</v>
      </c>
      <c r="B2" s="18">
        <f>'Discounted Cash Flow'!F7</f>
        <v>2980.9353552096259</v>
      </c>
    </row>
    <row r="3" spans="1:2">
      <c r="A3" s="10" t="s">
        <v>67</v>
      </c>
      <c r="B3" s="8">
        <v>132.6</v>
      </c>
    </row>
    <row r="4" spans="1:2">
      <c r="A4" s="10" t="s">
        <v>68</v>
      </c>
      <c r="B4" s="8">
        <v>45.2</v>
      </c>
    </row>
    <row r="5" spans="1:2">
      <c r="A5" s="10" t="s">
        <v>69</v>
      </c>
      <c r="B5" s="18">
        <f>B2+B3-B4</f>
        <v>3068.335355209626</v>
      </c>
    </row>
    <row r="6" spans="1:2">
      <c r="A6" s="10" t="s">
        <v>70</v>
      </c>
      <c r="B6" s="8">
        <v>33</v>
      </c>
    </row>
    <row r="7" spans="1:2">
      <c r="A7" s="10" t="s">
        <v>71</v>
      </c>
      <c r="B7" s="21">
        <f>B5/B6</f>
        <v>92.979859248776549</v>
      </c>
    </row>
    <row r="8" spans="1:2">
      <c r="A8" t="s">
        <v>72</v>
      </c>
      <c r="B8" s="22">
        <v>189.4</v>
      </c>
    </row>
    <row r="9" spans="1:2">
      <c r="A9" t="s">
        <v>73</v>
      </c>
      <c r="B9" s="22">
        <f>(B7-B8)/B8</f>
        <v>-0.50908205254077854</v>
      </c>
    </row>
    <row r="10" spans="1:2">
      <c r="A10" t="s">
        <v>74</v>
      </c>
      <c r="B10" t="s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1759-A167-45AD-8F6C-D9E18470188F}">
  <dimension ref="A1:J8"/>
  <sheetViews>
    <sheetView workbookViewId="0">
      <selection activeCell="I7" sqref="I7"/>
    </sheetView>
  </sheetViews>
  <sheetFormatPr defaultRowHeight="14.5"/>
  <cols>
    <col min="1" max="1" width="15.54296875" customWidth="1"/>
    <col min="2" max="2" width="14.54296875" customWidth="1"/>
    <col min="3" max="3" width="11" customWidth="1"/>
    <col min="4" max="4" width="12.26953125" customWidth="1"/>
    <col min="5" max="5" width="10.1796875" customWidth="1"/>
    <col min="6" max="6" width="12" customWidth="1"/>
    <col min="7" max="7" width="13.36328125" customWidth="1"/>
    <col min="8" max="8" width="12.54296875" customWidth="1"/>
    <col min="9" max="9" width="11.36328125" bestFit="1" customWidth="1"/>
  </cols>
  <sheetData>
    <row r="1" spans="1:10">
      <c r="A1" s="12" t="s">
        <v>76</v>
      </c>
      <c r="B1" s="16" t="s">
        <v>66</v>
      </c>
      <c r="C1" s="16" t="s">
        <v>77</v>
      </c>
      <c r="D1" s="16" t="s">
        <v>6</v>
      </c>
      <c r="E1" s="16" t="s">
        <v>78</v>
      </c>
      <c r="F1" s="16" t="s">
        <v>79</v>
      </c>
      <c r="G1" s="16" t="s">
        <v>80</v>
      </c>
      <c r="H1" s="16" t="s">
        <v>81</v>
      </c>
      <c r="I1" s="16" t="s">
        <v>82</v>
      </c>
    </row>
    <row r="2" spans="1:10">
      <c r="A2" s="10" t="s">
        <v>83</v>
      </c>
      <c r="B2" s="24">
        <v>6110</v>
      </c>
      <c r="C2" s="24">
        <v>321.5</v>
      </c>
      <c r="D2" s="24">
        <v>659.7</v>
      </c>
      <c r="E2" s="24">
        <v>6.23</v>
      </c>
      <c r="F2" s="24">
        <v>189.3</v>
      </c>
      <c r="G2" s="21">
        <f>B2/D2</f>
        <v>9.2617856601485524</v>
      </c>
      <c r="H2" s="21">
        <f>B2/C2</f>
        <v>19.004665629860032</v>
      </c>
      <c r="I2" s="21">
        <f>F2/E2</f>
        <v>30.385232744783305</v>
      </c>
      <c r="J2" s="9"/>
    </row>
    <row r="3" spans="1:10">
      <c r="A3" s="10" t="s">
        <v>84</v>
      </c>
      <c r="B3" s="24">
        <v>15690</v>
      </c>
      <c r="C3" s="24">
        <v>1290</v>
      </c>
      <c r="D3" s="24">
        <v>4970</v>
      </c>
      <c r="E3" s="24">
        <v>5.6</v>
      </c>
      <c r="F3" s="24">
        <v>93.52</v>
      </c>
      <c r="G3" s="21">
        <f>B3/D3</f>
        <v>3.1569416498993963</v>
      </c>
      <c r="H3" s="21">
        <f>B3/C3</f>
        <v>12.162790697674419</v>
      </c>
      <c r="I3" s="21">
        <f>F3/E3</f>
        <v>16.7</v>
      </c>
      <c r="J3" s="8"/>
    </row>
    <row r="4" spans="1:10">
      <c r="A4" s="10" t="s">
        <v>85</v>
      </c>
      <c r="B4" s="24">
        <v>6450</v>
      </c>
      <c r="C4" s="24">
        <v>626.59</v>
      </c>
      <c r="D4" s="24">
        <v>5490</v>
      </c>
      <c r="E4" s="24">
        <v>1.4</v>
      </c>
      <c r="F4" s="24">
        <v>14.79</v>
      </c>
      <c r="G4" s="21">
        <f>B4/D4</f>
        <v>1.174863387978142</v>
      </c>
      <c r="H4" s="21">
        <f>B4/C4</f>
        <v>10.29381254089596</v>
      </c>
      <c r="I4" s="21">
        <f>F4/E4</f>
        <v>10.564285714285715</v>
      </c>
      <c r="J4" s="8"/>
    </row>
    <row r="5" spans="1:10">
      <c r="A5" s="10" t="s">
        <v>86</v>
      </c>
      <c r="B5" s="24">
        <v>550.44000000000005</v>
      </c>
      <c r="C5" s="24">
        <v>84.76</v>
      </c>
      <c r="D5" s="24">
        <v>932.64</v>
      </c>
      <c r="E5" s="24">
        <v>-0.04</v>
      </c>
      <c r="F5" s="24">
        <v>5.88</v>
      </c>
      <c r="G5" s="21">
        <f>B5/D5</f>
        <v>0.59019557385486365</v>
      </c>
      <c r="H5" s="21">
        <f>B5/C5</f>
        <v>6.4941009910335064</v>
      </c>
      <c r="I5" s="8" t="s">
        <v>89</v>
      </c>
      <c r="J5" s="8"/>
    </row>
    <row r="6" spans="1:10">
      <c r="A6" s="10" t="s">
        <v>87</v>
      </c>
      <c r="B6" s="24">
        <v>38.31</v>
      </c>
      <c r="C6" s="24">
        <v>2.66</v>
      </c>
      <c r="D6" s="24">
        <v>95.73</v>
      </c>
      <c r="E6" s="24">
        <v>-0.1</v>
      </c>
      <c r="F6" s="24">
        <v>3</v>
      </c>
      <c r="G6" s="21">
        <f>B6/D6</f>
        <v>0.40018802883108745</v>
      </c>
      <c r="H6" s="21">
        <f>B6/C6</f>
        <v>14.402255639097744</v>
      </c>
      <c r="I6" s="8" t="s">
        <v>89</v>
      </c>
      <c r="J6" s="8"/>
    </row>
    <row r="7" spans="1:10">
      <c r="A7" s="23" t="s">
        <v>88</v>
      </c>
      <c r="B7" s="10"/>
      <c r="C7" s="8"/>
      <c r="D7" s="8"/>
      <c r="E7" s="8"/>
      <c r="F7" s="8"/>
      <c r="G7" s="21">
        <f>MEDIAN(G3:G6)</f>
        <v>0.88252948091650285</v>
      </c>
      <c r="H7" s="21">
        <f>MEDIAN(H3:H6)</f>
        <v>11.22830161928519</v>
      </c>
      <c r="I7" s="21">
        <f>MEDIAN(I3:I6)</f>
        <v>13.632142857142856</v>
      </c>
      <c r="J7" s="8"/>
    </row>
    <row r="8" spans="1:10">
      <c r="B8" s="23"/>
      <c r="C8" s="8"/>
      <c r="D8" s="8"/>
      <c r="E8" s="8"/>
      <c r="F8" s="8"/>
      <c r="G8" s="8"/>
      <c r="H8" s="8"/>
      <c r="I8" s="8"/>
      <c r="J8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D1C6-47AC-40EA-B32C-F33AA1603C4C}">
  <dimension ref="A1:B29"/>
  <sheetViews>
    <sheetView topLeftCell="A15" zoomScaleNormal="100" workbookViewId="0">
      <selection activeCell="I26" sqref="I26"/>
    </sheetView>
  </sheetViews>
  <sheetFormatPr defaultRowHeight="14.5"/>
  <cols>
    <col min="1" max="1" width="32.81640625" customWidth="1"/>
    <col min="2" max="2" width="12" customWidth="1"/>
  </cols>
  <sheetData>
    <row r="1" spans="1:2">
      <c r="A1" s="7" t="s">
        <v>21</v>
      </c>
      <c r="B1" s="9" t="s">
        <v>22</v>
      </c>
    </row>
    <row r="2" spans="1:2">
      <c r="A2" t="s">
        <v>90</v>
      </c>
      <c r="B2" s="8"/>
    </row>
    <row r="3" spans="1:2">
      <c r="A3" s="10" t="s">
        <v>91</v>
      </c>
      <c r="B3" s="32">
        <v>659.7</v>
      </c>
    </row>
    <row r="4" spans="1:2">
      <c r="A4" t="s">
        <v>92</v>
      </c>
      <c r="B4" s="8">
        <v>321.5</v>
      </c>
    </row>
    <row r="5" spans="1:2">
      <c r="A5" t="s">
        <v>93</v>
      </c>
      <c r="B5" s="8">
        <v>6.23</v>
      </c>
    </row>
    <row r="6" spans="1:2">
      <c r="A6" s="10" t="s">
        <v>14</v>
      </c>
      <c r="B6">
        <v>132.6</v>
      </c>
    </row>
    <row r="7" spans="1:2">
      <c r="A7" t="s">
        <v>15</v>
      </c>
      <c r="B7" s="8">
        <v>45.2</v>
      </c>
    </row>
    <row r="8" spans="1:2">
      <c r="A8" t="s">
        <v>94</v>
      </c>
      <c r="B8" s="8">
        <v>33</v>
      </c>
    </row>
    <row r="9" spans="1:2">
      <c r="A9" s="10"/>
      <c r="B9" s="8"/>
    </row>
    <row r="10" spans="1:2">
      <c r="A10" s="25" t="s">
        <v>95</v>
      </c>
      <c r="B10" s="8"/>
    </row>
    <row r="11" spans="1:2">
      <c r="A11" s="25" t="s">
        <v>96</v>
      </c>
      <c r="B11" s="21">
        <f>'Trading Comparables'!G7</f>
        <v>0.88252948091650285</v>
      </c>
    </row>
    <row r="12" spans="1:2">
      <c r="A12" t="s">
        <v>97</v>
      </c>
      <c r="B12" s="26">
        <f>B3*B11</f>
        <v>582.20469856061698</v>
      </c>
    </row>
    <row r="13" spans="1:2">
      <c r="A13" s="10" t="s">
        <v>67</v>
      </c>
      <c r="B13" s="33">
        <f>B6</f>
        <v>132.6</v>
      </c>
    </row>
    <row r="14" spans="1:2">
      <c r="A14" t="s">
        <v>68</v>
      </c>
      <c r="B14" s="32">
        <f>B7</f>
        <v>45.2</v>
      </c>
    </row>
    <row r="15" spans="1:2">
      <c r="A15" s="25" t="s">
        <v>98</v>
      </c>
      <c r="B15" s="21">
        <f>B12+B13-B14</f>
        <v>669.60469856061695</v>
      </c>
    </row>
    <row r="16" spans="1:2">
      <c r="A16" s="25" t="s">
        <v>103</v>
      </c>
      <c r="B16" s="26">
        <f>B15/B8</f>
        <v>20.291051471533848</v>
      </c>
    </row>
    <row r="17" spans="1:2">
      <c r="A17" s="10"/>
      <c r="B17" s="8"/>
    </row>
    <row r="18" spans="1:2">
      <c r="A18" s="25" t="s">
        <v>99</v>
      </c>
      <c r="B18" s="8"/>
    </row>
    <row r="19" spans="1:2">
      <c r="A19" t="s">
        <v>100</v>
      </c>
      <c r="B19">
        <v>12.16</v>
      </c>
    </row>
    <row r="20" spans="1:2">
      <c r="A20" t="s">
        <v>97</v>
      </c>
      <c r="B20" s="25">
        <v>3910.34</v>
      </c>
    </row>
    <row r="21" spans="1:2">
      <c r="A21" t="s">
        <v>67</v>
      </c>
      <c r="B21" s="8">
        <f>B6</f>
        <v>132.6</v>
      </c>
    </row>
    <row r="22" spans="1:2">
      <c r="A22" s="25" t="s">
        <v>68</v>
      </c>
      <c r="B22" s="21">
        <f>B7</f>
        <v>45.2</v>
      </c>
    </row>
    <row r="23" spans="1:2">
      <c r="A23" s="25" t="s">
        <v>98</v>
      </c>
      <c r="B23" s="21">
        <f>B20+B21-B22</f>
        <v>3997.7400000000002</v>
      </c>
    </row>
    <row r="24" spans="1:2">
      <c r="A24" s="25" t="s">
        <v>103</v>
      </c>
      <c r="B24" s="26">
        <f>B23/B8</f>
        <v>121.14363636363638</v>
      </c>
    </row>
    <row r="25" spans="1:2">
      <c r="A25" s="25"/>
      <c r="B25" s="8"/>
    </row>
    <row r="26" spans="1:2">
      <c r="A26" t="s">
        <v>101</v>
      </c>
      <c r="B26" s="8"/>
    </row>
    <row r="27" spans="1:2">
      <c r="A27" s="25" t="s">
        <v>102</v>
      </c>
      <c r="B27" s="25">
        <v>16.7</v>
      </c>
    </row>
    <row r="28" spans="1:2">
      <c r="A28" s="25" t="s">
        <v>98</v>
      </c>
      <c r="B28" s="21">
        <f>B5*B27*B8</f>
        <v>3433.3530000000001</v>
      </c>
    </row>
    <row r="29" spans="1:2">
      <c r="A29" t="s">
        <v>103</v>
      </c>
      <c r="B29" s="26">
        <f>B28/B8</f>
        <v>104.041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DC97-BC54-4367-90A1-608DD58FD6C9}">
  <dimension ref="A1:F8"/>
  <sheetViews>
    <sheetView zoomScaleNormal="100" workbookViewId="0"/>
  </sheetViews>
  <sheetFormatPr defaultRowHeight="14.5"/>
  <cols>
    <col min="1" max="1" width="38.6328125" customWidth="1"/>
    <col min="2" max="2" width="12.08984375" bestFit="1" customWidth="1"/>
    <col min="3" max="6" width="8.81640625" bestFit="1" customWidth="1"/>
  </cols>
  <sheetData>
    <row r="1" spans="1:6">
      <c r="A1" s="30" t="s">
        <v>104</v>
      </c>
      <c r="B1" s="28"/>
      <c r="C1" s="28"/>
      <c r="D1" s="28"/>
      <c r="E1" s="28"/>
      <c r="F1" s="28"/>
    </row>
    <row r="2" spans="1:6">
      <c r="A2" s="29"/>
      <c r="B2" s="8"/>
      <c r="C2" s="8"/>
      <c r="D2" s="8"/>
      <c r="E2" s="8"/>
      <c r="F2" s="8"/>
    </row>
    <row r="3" spans="1:6">
      <c r="A3" s="30" t="s">
        <v>105</v>
      </c>
      <c r="B3" s="27">
        <v>0.01</v>
      </c>
      <c r="C3" s="27">
        <v>1.4999999999999999E-2</v>
      </c>
      <c r="D3" s="27">
        <v>0.02</v>
      </c>
      <c r="E3" s="27">
        <v>2.5000000000000001E-2</v>
      </c>
      <c r="F3" s="27">
        <v>0.03</v>
      </c>
    </row>
    <row r="4" spans="1:6">
      <c r="A4" s="27">
        <v>7.0000000000000007E-2</v>
      </c>
      <c r="B4" s="26" cm="1">
        <f t="array" ref="B4">(SUMPRODUCT('Discounted Cash Flow'!$B$2:$F$2,1/(1+$A4)^{1,2,3,4,5})+('Discounted Cash Flow'!$F$2*(1+B$3)/($A4-B$3))/(1+$A4)^5+'Equity Value'!$B$3-'Equity Value'!$B$4)/'Equity Value'!$B$6</f>
        <v>110.5444387565058</v>
      </c>
      <c r="C4" s="26" cm="1">
        <f t="array" ref="C4">(SUMPRODUCT('Discounted Cash Flow'!$B$2:$F$2,1/(1+$A4)^{1,2,3,4,5})+('Discounted Cash Flow'!$F$2*(1+C$3)/($A4-C$3))/(1+$A4)^5+'Equity Value'!$B$3-'Equity Value'!$B$4)/'Equity Value'!$B$6</f>
        <v>118.57620515331466</v>
      </c>
      <c r="D4" s="26" cm="1">
        <f t="array" ref="D4">(SUMPRODUCT('Discounted Cash Flow'!$B$2:$F$2,1/(1+$A4)^{1,2,3,4,5})+('Discounted Cash Flow'!$F$2*(1+D$3)/($A4-D$3))/(1+$A4)^5+'Equity Value'!$B$3-'Equity Value'!$B$4)/'Equity Value'!$B$6</f>
        <v>128.21432482948538</v>
      </c>
      <c r="E4" s="26" cm="1">
        <f t="array" ref="E4">(SUMPRODUCT('Discounted Cash Flow'!$B$2:$F$2,1/(1+$A4)^{1,2,3,4,5})+('Discounted Cash Flow'!$F$2*(1+E$3)/($A4-E$3))/(1+$A4)^5+'Equity Value'!$B$3-'Equity Value'!$B$4)/'Equity Value'!$B$6</f>
        <v>139.99424887813839</v>
      </c>
      <c r="F4" s="26" cm="1">
        <f t="array" ref="F4">(SUMPRODUCT('Discounted Cash Flow'!$B$2:$F$2,1/(1+$A4)^{1,2,3,4,5})+('Discounted Cash Flow'!$F$2*(1+F$3)/($A4-F$3))/(1+$A4)^5+'Equity Value'!$B$3-'Equity Value'!$B$4)/'Equity Value'!$B$6</f>
        <v>154.71915393895463</v>
      </c>
    </row>
    <row r="5" spans="1:6">
      <c r="A5" s="27">
        <v>7.4999999999999997E-2</v>
      </c>
      <c r="B5" s="26" cm="1">
        <f t="array" ref="B5">(SUMPRODUCT('Discounted Cash Flow'!$B$2:$F$2,1/(1+$A5)^{1,2,3,4,5})+('Discounted Cash Flow'!$F$2*(1+B$3)/($A5-B$3))/(1+$A5)^5+'Equity Value'!$B$3-'Equity Value'!$B$4)/'Equity Value'!$B$6</f>
        <v>102.01552038975342</v>
      </c>
      <c r="C5" s="26" cm="1">
        <f t="array" ref="C5">(SUMPRODUCT('Discounted Cash Flow'!$B$2:$F$2,1/(1+$A5)^{1,2,3,4,5})+('Discounted Cash Flow'!$F$2*(1+C$3)/($A5-C$3))/(1+$A5)^5+'Equity Value'!$B$3-'Equity Value'!$B$4)/'Equity Value'!$B$6</f>
        <v>108.68607056371312</v>
      </c>
      <c r="D5" s="26" cm="1">
        <f t="array" ref="D5">(SUMPRODUCT('Discounted Cash Flow'!$B$2:$F$2,1/(1+$A5)^{1,2,3,4,5})+('Discounted Cash Flow'!$F$2*(1+D$3)/($A5-D$3))/(1+$A5)^5+'Equity Value'!$B$3-'Equity Value'!$B$4)/'Equity Value'!$B$6</f>
        <v>116.56944804202917</v>
      </c>
      <c r="E5" s="26" cm="1">
        <f t="array" ref="E5">(SUMPRODUCT('Discounted Cash Flow'!$B$2:$F$2,1/(1+$A5)^{1,2,3,4,5})+('Discounted Cash Flow'!$F$2*(1+E$3)/($A5-E$3))/(1+$A5)^5+'Equity Value'!$B$3-'Equity Value'!$B$4)/'Equity Value'!$B$6</f>
        <v>126.02950101600838</v>
      </c>
      <c r="F5" s="26" cm="1">
        <f t="array" ref="F5">(SUMPRODUCT('Discounted Cash Flow'!$B$2:$F$2,1/(1+$A5)^{1,2,3,4,5})+('Discounted Cash Flow'!$F$2*(1+F$3)/($A5-F$3))/(1+$A5)^5+'Equity Value'!$B$3-'Equity Value'!$B$4)/'Equity Value'!$B$6</f>
        <v>137.59178798420521</v>
      </c>
    </row>
    <row r="6" spans="1:6">
      <c r="A6" s="27">
        <v>0.08</v>
      </c>
      <c r="B6" s="26" cm="1">
        <f t="array" ref="B6">(SUMPRODUCT('Discounted Cash Flow'!$B$2:$F$2,1/(1+$A6)^{1,2,3,4,5})+('Discounted Cash Flow'!$F$2*(1+B$3)/($A6-B$3))/(1+$A6)^5+'Equity Value'!$B$3-'Equity Value'!$B$4)/'Equity Value'!$B$6</f>
        <v>94.709039867599699</v>
      </c>
      <c r="C6" s="26" cm="1">
        <f t="array" ref="C6">(SUMPRODUCT('Discounted Cash Flow'!$B$2:$F$2,1/(1+$A6)^{1,2,3,4,5})+('Discounted Cash Flow'!$F$2*(1+C$3)/($A6-C$3))/(1+$A6)^5+'Equity Value'!$B$3-'Equity Value'!$B$4)/'Equity Value'!$B$6</f>
        <v>100.32150557676476</v>
      </c>
      <c r="D6" s="26" cm="1">
        <f t="array" ref="D6">(SUMPRODUCT('Discounted Cash Flow'!$B$2:$F$2,1/(1+$A6)^{1,2,3,4,5})+('Discounted Cash Flow'!$F$2*(1+D$3)/($A6-D$3))/(1+$A6)^5+'Equity Value'!$B$3-'Equity Value'!$B$4)/'Equity Value'!$B$6</f>
        <v>106.86938223745733</v>
      </c>
      <c r="E6" s="26" cm="1">
        <f t="array" ref="E6">(SUMPRODUCT('Discounted Cash Flow'!$B$2:$F$2,1/(1+$A6)^{1,2,3,4,5})+('Discounted Cash Flow'!$F$2*(1+E$3)/($A6-E$3))/(1+$A6)^5+'Equity Value'!$B$3-'Equity Value'!$B$4)/'Equity Value'!$B$6</f>
        <v>114.60778192736673</v>
      </c>
      <c r="F6" s="26" cm="1">
        <f t="array" ref="F6">(SUMPRODUCT('Discounted Cash Flow'!$B$2:$F$2,1/(1+$A6)^{1,2,3,4,5})+('Discounted Cash Flow'!$F$2*(1+F$3)/($A6-F$3))/(1+$A6)^5+'Equity Value'!$B$3-'Equity Value'!$B$4)/'Equity Value'!$B$6</f>
        <v>123.89386155525801</v>
      </c>
    </row>
    <row r="7" spans="1:6">
      <c r="A7" s="27">
        <v>8.5000000000000006E-2</v>
      </c>
      <c r="B7" s="26" cm="1">
        <f t="array" ref="B7">(SUMPRODUCT('Discounted Cash Flow'!$B$2:$F$2,1/(1+$A7)^{1,2,3,4,5})+('Discounted Cash Flow'!$F$2*(1+B$3)/($A7-B$3))/(1+$A7)^5+'Equity Value'!$B$3-'Equity Value'!$B$4)/'Equity Value'!$B$6</f>
        <v>88.380417000722488</v>
      </c>
      <c r="C7" s="26" cm="1">
        <f t="array" ref="C7">(SUMPRODUCT('Discounted Cash Flow'!$B$2:$F$2,1/(1+$A7)^{1,2,3,4,5})+('Discounted Cash Flow'!$F$2*(1+C$3)/($A7-C$3))/(1+$A7)^5+'Equity Value'!$B$3-'Equity Value'!$B$4)/'Equity Value'!$B$6</f>
        <v>93.155510316238846</v>
      </c>
      <c r="D7" s="26" cm="1">
        <f t="array" ref="D7">(SUMPRODUCT('Discounted Cash Flow'!$B$2:$F$2,1/(1+$A7)^{1,2,3,4,5})+('Discounted Cash Flow'!$F$2*(1+D$3)/($A7-D$3))/(1+$A7)^5+'Equity Value'!$B$3-'Equity Value'!$B$4)/'Equity Value'!$B$6</f>
        <v>98.665233372603879</v>
      </c>
      <c r="E7" s="26" cm="1">
        <f t="array" ref="E7">(SUMPRODUCT('Discounted Cash Flow'!$B$2:$F$2,1/(1+$A7)^{1,2,3,4,5})+('Discounted Cash Flow'!$F$2*(1+E$3)/($A7-E$3))/(1+$A7)^5+'Equity Value'!$B$3-'Equity Value'!$B$4)/'Equity Value'!$B$6</f>
        <v>105.09324360502974</v>
      </c>
      <c r="F7" s="26" cm="1">
        <f t="array" ref="F7">(SUMPRODUCT('Discounted Cash Flow'!$B$2:$F$2,1/(1+$A7)^{1,2,3,4,5})+('Discounted Cash Flow'!$F$2*(1+F$3)/($A7-F$3))/(1+$A7)^5+'Equity Value'!$B$3-'Equity Value'!$B$4)/'Equity Value'!$B$6</f>
        <v>112.68998297062394</v>
      </c>
    </row>
    <row r="8" spans="1:6">
      <c r="A8" s="27">
        <v>0.09</v>
      </c>
      <c r="B8" s="26" cm="1">
        <f t="array" ref="B8">(SUMPRODUCT('Discounted Cash Flow'!$B$2:$F$2,1/(1+$A8)^{1,2,3,4,5})+('Discounted Cash Flow'!$F$2*(1+B$3)/($A8-B$3))/(1+$A8)^5+'Equity Value'!$B$3-'Equity Value'!$B$4)/'Equity Value'!$B$6</f>
        <v>82.84621923755266</v>
      </c>
      <c r="C8" s="26" cm="1">
        <f t="array" ref="C8">(SUMPRODUCT('Discounted Cash Flow'!$B$2:$F$2,1/(1+$A8)^{1,2,3,4,5})+('Discounted Cash Flow'!$F$2*(1+C$3)/($A8-C$3))/(1+$A8)^5+'Equity Value'!$B$3-'Equity Value'!$B$4)/'Equity Value'!$B$6</f>
        <v>86.948287442028658</v>
      </c>
      <c r="D8" s="26" cm="1">
        <f t="array" ref="D8">(SUMPRODUCT('Discounted Cash Flow'!$B$2:$F$2,1/(1+$A8)^{1,2,3,4,5})+('Discounted Cash Flow'!$F$2*(1+D$3)/($A8-D$3))/(1+$A8)^5+'Equity Value'!$B$3-'Equity Value'!$B$4)/'Equity Value'!$B$6</f>
        <v>91.636365390001231</v>
      </c>
      <c r="E8" s="26" cm="1">
        <f t="array" ref="E8">(SUMPRODUCT('Discounted Cash Flow'!$B$2:$F$2,1/(1+$A8)^{1,2,3,4,5})+('Discounted Cash Flow'!$F$2*(1+E$3)/($A8-E$3))/(1+$A8)^5+'Equity Value'!$B$3-'Equity Value'!$B$4)/'Equity Value'!$B$6</f>
        <v>97.045686099200339</v>
      </c>
      <c r="F8" s="26" cm="1">
        <f t="array" ref="F8">(SUMPRODUCT('Discounted Cash Flow'!$B$2:$F$2,1/(1+$A8)^{1,2,3,4,5})+('Discounted Cash Flow'!$F$2*(1+F$3)/($A8-F$3))/(1+$A8)^5+'Equity Value'!$B$3-'Equity Value'!$B$4)/'Equity Value'!$B$6</f>
        <v>103.35656025993266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70AC-584F-4AF2-9BFA-2164D6DE7856}">
  <dimension ref="A1:G7"/>
  <sheetViews>
    <sheetView tabSelected="1" workbookViewId="0">
      <selection activeCell="O7" sqref="O7"/>
    </sheetView>
  </sheetViews>
  <sheetFormatPr defaultRowHeight="14.5"/>
  <cols>
    <col min="1" max="1" width="17.26953125" customWidth="1"/>
    <col min="6" max="6" width="15.26953125" customWidth="1"/>
  </cols>
  <sheetData>
    <row r="1" spans="1:7" ht="29">
      <c r="A1" s="10" t="s">
        <v>106</v>
      </c>
      <c r="B1" s="8" t="s">
        <v>107</v>
      </c>
      <c r="C1" s="8" t="s">
        <v>108</v>
      </c>
      <c r="D1" t="s">
        <v>111</v>
      </c>
      <c r="F1" s="10" t="s">
        <v>112</v>
      </c>
      <c r="G1" s="34">
        <v>189.4</v>
      </c>
    </row>
    <row r="2" spans="1:7">
      <c r="A2" s="10" t="s">
        <v>109</v>
      </c>
      <c r="B2" s="8">
        <v>82.85</v>
      </c>
      <c r="C2" s="8">
        <v>154.72</v>
      </c>
      <c r="D2">
        <f>C2-B2</f>
        <v>71.87</v>
      </c>
      <c r="F2" s="10" t="s">
        <v>109</v>
      </c>
      <c r="G2" s="34">
        <v>189.4</v>
      </c>
    </row>
    <row r="3" spans="1:7">
      <c r="A3" s="10" t="s">
        <v>80</v>
      </c>
      <c r="B3" s="8">
        <v>10.64</v>
      </c>
      <c r="C3">
        <v>65.819999999999993</v>
      </c>
      <c r="D3">
        <f>C3-B3</f>
        <v>55.179999999999993</v>
      </c>
      <c r="F3" s="10" t="s">
        <v>80</v>
      </c>
      <c r="G3" s="34">
        <v>189.4</v>
      </c>
    </row>
    <row r="4" spans="1:7">
      <c r="A4" s="10" t="s">
        <v>81</v>
      </c>
      <c r="B4" s="8">
        <v>65.88</v>
      </c>
      <c r="C4" s="8">
        <v>142.94</v>
      </c>
      <c r="D4">
        <f>C4-B4</f>
        <v>77.06</v>
      </c>
      <c r="F4" s="10" t="s">
        <v>81</v>
      </c>
      <c r="G4" s="34">
        <v>189.4</v>
      </c>
    </row>
    <row r="5" spans="1:7">
      <c r="A5" s="10" t="s">
        <v>82</v>
      </c>
      <c r="B5" s="26">
        <f>6.23*10.56</f>
        <v>65.788800000000009</v>
      </c>
      <c r="C5" s="26">
        <f>6.23*16.7</f>
        <v>104.041</v>
      </c>
      <c r="D5" s="31">
        <f>C5-B5</f>
        <v>38.252199999999988</v>
      </c>
      <c r="F5" s="10"/>
      <c r="G5" s="34"/>
    </row>
    <row r="6" spans="1:7">
      <c r="A6" s="10" t="s">
        <v>110</v>
      </c>
      <c r="B6" s="8">
        <v>189.4</v>
      </c>
      <c r="C6" s="8">
        <v>189.4</v>
      </c>
      <c r="F6" s="10"/>
      <c r="G6" s="34"/>
    </row>
    <row r="7" spans="1:7">
      <c r="A7" s="10"/>
      <c r="B7" s="8"/>
      <c r="C7" s="8"/>
      <c r="F7" s="10"/>
      <c r="G7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Historicals</vt:lpstr>
      <vt:lpstr>Forecast</vt:lpstr>
      <vt:lpstr>Forecast Assumptions</vt:lpstr>
      <vt:lpstr>Cash Flow</vt:lpstr>
      <vt:lpstr>WACC</vt:lpstr>
      <vt:lpstr>Terminal Value </vt:lpstr>
      <vt:lpstr>Discounted Cash Flow</vt:lpstr>
      <vt:lpstr>Equity Value</vt:lpstr>
      <vt:lpstr>Trading Comparables</vt:lpstr>
      <vt:lpstr>Comparable Valuation</vt:lpstr>
      <vt:lpstr>Sensitivity Analysis</vt:lpstr>
      <vt:lpstr>Football 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Limbu, Samuel (UG - Economics)</dc:creator>
  <cp:lastModifiedBy>Sam Limbu</cp:lastModifiedBy>
  <dcterms:created xsi:type="dcterms:W3CDTF">2026-07-24T17:17:16Z</dcterms:created>
  <dcterms:modified xsi:type="dcterms:W3CDTF">2026-09-14T19:48:48Z</dcterms:modified>
</cp:coreProperties>
</file>